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BL-GG20200501001" sheetId="1" r:id="rId1"/>
  </sheets>
  <calcPr calcId="144525"/>
</workbook>
</file>

<file path=xl/sharedStrings.xml><?xml version="1.0" encoding="utf-8"?>
<sst xmlns="http://schemas.openxmlformats.org/spreadsheetml/2006/main" count="69" uniqueCount="39">
  <si>
    <r>
      <t>Gogo198</t>
    </r>
    <r>
      <rPr>
        <b/>
        <sz val="16"/>
        <rFont val="宋体"/>
        <charset val="134"/>
      </rPr>
      <t>購購網</t>
    </r>
    <r>
      <rPr>
        <b/>
        <sz val="16"/>
        <rFont val="Arial"/>
        <charset val="134"/>
      </rPr>
      <t xml:space="preserve"> </t>
    </r>
    <r>
      <rPr>
        <b/>
        <sz val="16"/>
        <rFont val="宋体"/>
        <charset val="134"/>
      </rPr>
      <t>業務账單</t>
    </r>
  </si>
  <si>
    <t>客戶名稱:</t>
  </si>
  <si>
    <t>美國大洋生物製藥有限公司 / 张玉龙15010219740824255X</t>
  </si>
  <si>
    <t>序號</t>
  </si>
  <si>
    <t>费用日期</t>
  </si>
  <si>
    <t>费用类别</t>
  </si>
  <si>
    <t>费用名称</t>
  </si>
  <si>
    <t>计价单位</t>
  </si>
  <si>
    <t>费用金额</t>
  </si>
  <si>
    <t>摘要備註</t>
  </si>
  <si>
    <t>单价</t>
  </si>
  <si>
    <t>数量</t>
  </si>
  <si>
    <t>金额</t>
  </si>
  <si>
    <t>01月</t>
  </si>
  <si>
    <t>14日</t>
  </si>
  <si>
    <t>代付费用</t>
  </si>
  <si>
    <t>入仓费</t>
  </si>
  <si>
    <t>元/批/次</t>
  </si>
  <si>
    <t>A816152201050001</t>
  </si>
  <si>
    <t>应付费用</t>
  </si>
  <si>
    <t>登记费</t>
  </si>
  <si>
    <t>元/件/次</t>
  </si>
  <si>
    <t>31日</t>
  </si>
  <si>
    <t>仓储费</t>
  </si>
  <si>
    <t>元/月立方米</t>
  </si>
  <si>
    <t>02月</t>
  </si>
  <si>
    <t>20日</t>
  </si>
  <si>
    <t>A816152202110001</t>
  </si>
  <si>
    <t>28日</t>
  </si>
  <si>
    <t>03月</t>
  </si>
  <si>
    <t>30日</t>
  </si>
  <si>
    <t>合計</t>
  </si>
  <si>
    <t>應付合计</t>
  </si>
  <si>
    <t>实付</t>
  </si>
  <si>
    <t>应付实付</t>
  </si>
  <si>
    <t>开票税费</t>
  </si>
  <si>
    <t>税费实付</t>
  </si>
  <si>
    <t>已付费用</t>
  </si>
  <si>
    <t>开票实付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</si>
</sst>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_);[Red]\(0.0\)"/>
  </numFmts>
  <fonts count="37">
    <font>
      <sz val="11"/>
      <color theme="1"/>
      <name val="宋体"/>
      <charset val="134"/>
      <scheme val="minor"/>
    </font>
    <font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6"/>
      <name val="Arial"/>
      <charset val="134"/>
    </font>
    <font>
      <b/>
      <sz val="20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name val="仿宋"/>
      <charset val="134"/>
    </font>
    <font>
      <sz val="12"/>
      <name val="Arial"/>
      <charset val="134"/>
    </font>
    <font>
      <sz val="14"/>
      <color indexed="8"/>
      <name val="宋体"/>
      <charset val="134"/>
    </font>
    <font>
      <b/>
      <sz val="11"/>
      <color theme="8"/>
      <name val="仿宋"/>
      <charset val="134"/>
    </font>
    <font>
      <b/>
      <sz val="11"/>
      <color rgb="FFFF0000"/>
      <name val="仿宋"/>
      <charset val="134"/>
    </font>
    <font>
      <b/>
      <sz val="11"/>
      <color rgb="FFC00000"/>
      <name val="仿宋"/>
      <charset val="134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indexed="8"/>
      <name val="Arial"/>
      <charset val="134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20"/>
      <name val="宋体"/>
      <charset val="134"/>
    </font>
    <font>
      <b/>
      <sz val="16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10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27" borderId="14" applyNumberFormat="0" applyAlignment="0" applyProtection="0">
      <alignment vertical="center"/>
    </xf>
    <xf numFmtId="0" fontId="24" fillId="0" borderId="0">
      <protection locked="0"/>
    </xf>
    <xf numFmtId="0" fontId="33" fillId="28" borderId="19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0" borderId="0"/>
    <xf numFmtId="0" fontId="20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27" applyNumberFormat="1" applyFont="1" applyFill="1" applyBorder="1" applyAlignment="1" applyProtection="1">
      <alignment horizontal="center" vertical="center"/>
    </xf>
    <xf numFmtId="49" fontId="7" fillId="0" borderId="1" xfId="27" applyNumberFormat="1" applyFont="1" applyBorder="1" applyAlignment="1" applyProtection="1">
      <alignment horizontal="center" vertical="center" wrapText="1" shrinkToFit="1"/>
    </xf>
    <xf numFmtId="49" fontId="7" fillId="0" borderId="1" xfId="27" applyNumberFormat="1" applyFont="1" applyBorder="1" applyAlignment="1" applyProtection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27" applyFont="1" applyFill="1" applyBorder="1" applyAlignment="1" applyProtection="1">
      <alignment horizontal="center" vertical="center"/>
    </xf>
    <xf numFmtId="0" fontId="8" fillId="0" borderId="1" xfId="27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27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>
      <alignment vertical="center"/>
    </xf>
    <xf numFmtId="176" fontId="6" fillId="3" borderId="2" xfId="27" applyNumberFormat="1" applyFont="1" applyFill="1" applyBorder="1" applyAlignment="1" applyProtection="1">
      <alignment horizontal="right" vertical="center" wrapText="1"/>
    </xf>
    <xf numFmtId="176" fontId="6" fillId="3" borderId="3" xfId="27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177" fontId="6" fillId="2" borderId="1" xfId="27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Fill="1" applyBorder="1" applyAlignment="1">
      <alignment horizontal="right" vertical="center"/>
    </xf>
    <xf numFmtId="176" fontId="11" fillId="0" borderId="1" xfId="27" applyNumberFormat="1" applyFont="1" applyFill="1" applyBorder="1" applyAlignment="1" applyProtection="1">
      <alignment horizontal="right" vertical="center" wrapText="1"/>
    </xf>
    <xf numFmtId="176" fontId="12" fillId="0" borderId="1" xfId="27" applyNumberFormat="1" applyFont="1" applyFill="1" applyBorder="1" applyAlignment="1" applyProtection="1">
      <alignment horizontal="right" vertical="center" wrapText="1"/>
    </xf>
    <xf numFmtId="4" fontId="13" fillId="0" borderId="1" xfId="0" applyNumberFormat="1" applyFont="1" applyFill="1" applyBorder="1" applyAlignment="1">
      <alignment horizontal="right" vertical="center"/>
    </xf>
    <xf numFmtId="176" fontId="8" fillId="0" borderId="1" xfId="27" applyNumberFormat="1" applyFont="1" applyFill="1" applyBorder="1" applyAlignment="1" applyProtection="1">
      <alignment horizontal="right" vertical="center" wrapText="1"/>
    </xf>
    <xf numFmtId="4" fontId="9" fillId="0" borderId="4" xfId="0" applyNumberFormat="1" applyFont="1" applyFill="1" applyBorder="1" applyAlignment="1">
      <alignment horizontal="center" vertical="center"/>
    </xf>
    <xf numFmtId="4" fontId="9" fillId="0" borderId="5" xfId="0" applyNumberFormat="1" applyFont="1" applyFill="1" applyBorder="1" applyAlignment="1">
      <alignment horizontal="center" vertical="center"/>
    </xf>
    <xf numFmtId="4" fontId="9" fillId="0" borderId="6" xfId="0" applyNumberFormat="1" applyFont="1" applyFill="1" applyBorder="1" applyAlignment="1">
      <alignment horizontal="center" vertical="center"/>
    </xf>
    <xf numFmtId="4" fontId="9" fillId="0" borderId="7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Alignment="1">
      <alignment horizontal="center" vertical="center"/>
    </xf>
    <xf numFmtId="4" fontId="9" fillId="0" borderId="8" xfId="0" applyNumberFormat="1" applyFont="1" applyFill="1" applyBorder="1" applyAlignment="1">
      <alignment horizontal="center" vertical="center"/>
    </xf>
    <xf numFmtId="4" fontId="9" fillId="0" borderId="9" xfId="0" applyNumberFormat="1" applyFont="1" applyFill="1" applyBorder="1" applyAlignment="1">
      <alignment horizontal="center" vertical="center"/>
    </xf>
    <xf numFmtId="4" fontId="9" fillId="0" borderId="10" xfId="0" applyNumberFormat="1" applyFont="1" applyFill="1" applyBorder="1" applyAlignment="1">
      <alignment horizontal="center" vertical="center"/>
    </xf>
    <xf numFmtId="4" fontId="9" fillId="0" borderId="11" xfId="0" applyNumberFormat="1" applyFont="1" applyFill="1" applyBorder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好_ZH-DW20191206001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常规_Sheet2 (2)" xfId="27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差_ZH-DW20191206001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常规 10" xfId="50"/>
    <cellStyle name="40% - 强调文字颜色 6" xfId="51" builtinId="51"/>
    <cellStyle name="60% - 强调文字颜色 6" xfId="52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136525</xdr:colOff>
      <xdr:row>0</xdr:row>
      <xdr:rowOff>66675</xdr:rowOff>
    </xdr:from>
    <xdr:to>
      <xdr:col>1</xdr:col>
      <xdr:colOff>574040</xdr:colOff>
      <xdr:row>0</xdr:row>
      <xdr:rowOff>577215</xdr:rowOff>
    </xdr:to>
    <xdr:pic>
      <xdr:nvPicPr>
        <xdr:cNvPr id="2" name="图片 1" descr="gogo logo 描边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66675"/>
          <a:ext cx="113284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I16" sqref="I16:K18"/>
    </sheetView>
  </sheetViews>
  <sheetFormatPr defaultColWidth="9" defaultRowHeight="18.75"/>
  <cols>
    <col min="1" max="1" width="9.125" style="1" customWidth="1"/>
    <col min="2" max="2" width="8.125" style="1" customWidth="1"/>
    <col min="3" max="3" width="7.5" style="1" customWidth="1"/>
    <col min="4" max="4" width="13.125" style="4" customWidth="1"/>
    <col min="5" max="5" width="13.375" style="4" customWidth="1"/>
    <col min="6" max="6" width="13.125" style="4" customWidth="1"/>
    <col min="7" max="7" width="9.875" style="4" customWidth="1"/>
    <col min="8" max="8" width="9.625" style="4" customWidth="1"/>
    <col min="9" max="9" width="9.875" style="4" customWidth="1"/>
    <col min="10" max="10" width="12.625" style="1" customWidth="1"/>
    <col min="11" max="11" width="37" style="1" customWidth="1"/>
    <col min="12" max="16384" width="9" style="1"/>
  </cols>
  <sheetData>
    <row r="1" s="1" customFormat="1" ht="52" customHeight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2" customFormat="1" ht="27" customHeight="1" spans="1:11">
      <c r="A2" s="7" t="s">
        <v>1</v>
      </c>
      <c r="B2" s="8" t="s">
        <v>2</v>
      </c>
      <c r="C2" s="9"/>
      <c r="D2" s="9"/>
      <c r="E2" s="9"/>
      <c r="F2" s="9"/>
      <c r="G2" s="9"/>
      <c r="H2" s="9"/>
      <c r="I2" s="9"/>
      <c r="J2" s="9"/>
      <c r="K2" s="9"/>
    </row>
    <row r="3" s="3" customFormat="1" ht="22" customHeight="1" spans="1:12">
      <c r="A3" s="7" t="s">
        <v>3</v>
      </c>
      <c r="B3" s="10" t="s">
        <v>4</v>
      </c>
      <c r="C3" s="10"/>
      <c r="D3" s="11" t="s">
        <v>5</v>
      </c>
      <c r="E3" s="11" t="s">
        <v>6</v>
      </c>
      <c r="F3" s="11" t="s">
        <v>7</v>
      </c>
      <c r="G3" s="7" t="s">
        <v>8</v>
      </c>
      <c r="H3" s="7"/>
      <c r="I3" s="7"/>
      <c r="J3" s="7"/>
      <c r="K3" s="21" t="s">
        <v>9</v>
      </c>
      <c r="L3" s="22"/>
    </row>
    <row r="4" s="3" customFormat="1" ht="19" customHeight="1" spans="1:12">
      <c r="A4" s="7"/>
      <c r="B4" s="10"/>
      <c r="C4" s="10"/>
      <c r="D4" s="11"/>
      <c r="E4" s="11"/>
      <c r="F4" s="11"/>
      <c r="G4" s="11" t="s">
        <v>10</v>
      </c>
      <c r="H4" s="11" t="s">
        <v>11</v>
      </c>
      <c r="I4" s="11"/>
      <c r="J4" s="7" t="s">
        <v>12</v>
      </c>
      <c r="K4" s="21"/>
      <c r="L4" s="22"/>
    </row>
    <row r="5" s="3" customFormat="1" ht="18" customHeight="1" spans="1:12">
      <c r="A5" s="7"/>
      <c r="B5" s="10"/>
      <c r="C5" s="10"/>
      <c r="D5" s="11"/>
      <c r="E5" s="11"/>
      <c r="F5" s="11"/>
      <c r="G5" s="11"/>
      <c r="H5" s="11"/>
      <c r="I5" s="11"/>
      <c r="J5" s="7"/>
      <c r="K5" s="21"/>
      <c r="L5" s="22"/>
    </row>
    <row r="6" s="3" customFormat="1" ht="29.25" customHeight="1" spans="1:12">
      <c r="A6" s="12">
        <v>1</v>
      </c>
      <c r="B6" s="13" t="s">
        <v>13</v>
      </c>
      <c r="C6" s="13" t="s">
        <v>14</v>
      </c>
      <c r="D6" s="14" t="s">
        <v>15</v>
      </c>
      <c r="E6" s="14" t="s">
        <v>16</v>
      </c>
      <c r="F6" s="15" t="s">
        <v>17</v>
      </c>
      <c r="G6" s="14">
        <v>200</v>
      </c>
      <c r="H6" s="14">
        <v>1</v>
      </c>
      <c r="I6" s="14">
        <v>1</v>
      </c>
      <c r="J6" s="23">
        <f>G6*H6*I6</f>
        <v>200</v>
      </c>
      <c r="K6" s="24" t="s">
        <v>18</v>
      </c>
      <c r="L6" s="22"/>
    </row>
    <row r="7" s="3" customFormat="1" ht="29.25" customHeight="1" spans="1:12">
      <c r="A7" s="12">
        <v>2</v>
      </c>
      <c r="B7" s="13"/>
      <c r="C7" s="13" t="s">
        <v>14</v>
      </c>
      <c r="D7" s="14" t="s">
        <v>19</v>
      </c>
      <c r="E7" s="14" t="s">
        <v>20</v>
      </c>
      <c r="F7" s="15" t="s">
        <v>21</v>
      </c>
      <c r="G7" s="14">
        <v>1</v>
      </c>
      <c r="H7" s="14">
        <v>1008</v>
      </c>
      <c r="I7" s="14">
        <v>1</v>
      </c>
      <c r="J7" s="23">
        <f t="shared" ref="J7:J14" si="0">G7*H7*I7</f>
        <v>1008</v>
      </c>
      <c r="K7" s="24" t="s">
        <v>18</v>
      </c>
      <c r="L7" s="22"/>
    </row>
    <row r="8" s="3" customFormat="1" ht="29.25" customHeight="1" spans="1:12">
      <c r="A8" s="12">
        <v>3</v>
      </c>
      <c r="B8" s="13"/>
      <c r="C8" s="13" t="s">
        <v>22</v>
      </c>
      <c r="D8" s="14" t="s">
        <v>19</v>
      </c>
      <c r="E8" s="14" t="s">
        <v>23</v>
      </c>
      <c r="F8" s="15" t="s">
        <v>24</v>
      </c>
      <c r="G8" s="14">
        <v>250</v>
      </c>
      <c r="H8" s="14">
        <v>1</v>
      </c>
      <c r="I8" s="14">
        <v>2.2</v>
      </c>
      <c r="J8" s="23">
        <f t="shared" si="0"/>
        <v>550</v>
      </c>
      <c r="K8" s="24" t="s">
        <v>18</v>
      </c>
      <c r="L8" s="22"/>
    </row>
    <row r="9" s="3" customFormat="1" ht="29.25" customHeight="1" spans="1:12">
      <c r="A9" s="12">
        <v>4</v>
      </c>
      <c r="B9" s="13" t="s">
        <v>25</v>
      </c>
      <c r="C9" s="13" t="s">
        <v>26</v>
      </c>
      <c r="D9" s="14" t="s">
        <v>15</v>
      </c>
      <c r="E9" s="14" t="s">
        <v>16</v>
      </c>
      <c r="F9" s="15" t="s">
        <v>17</v>
      </c>
      <c r="G9" s="14">
        <v>200</v>
      </c>
      <c r="H9" s="14">
        <v>1</v>
      </c>
      <c r="I9" s="14">
        <v>1</v>
      </c>
      <c r="J9" s="23">
        <f t="shared" si="0"/>
        <v>200</v>
      </c>
      <c r="K9" s="25" t="s">
        <v>27</v>
      </c>
      <c r="L9" s="22"/>
    </row>
    <row r="10" s="3" customFormat="1" ht="29.25" customHeight="1" spans="1:12">
      <c r="A10" s="12">
        <v>5</v>
      </c>
      <c r="B10" s="13"/>
      <c r="C10" s="13" t="s">
        <v>26</v>
      </c>
      <c r="D10" s="14" t="s">
        <v>19</v>
      </c>
      <c r="E10" s="14" t="s">
        <v>20</v>
      </c>
      <c r="F10" s="15" t="s">
        <v>21</v>
      </c>
      <c r="G10" s="14">
        <v>1</v>
      </c>
      <c r="H10" s="14">
        <v>960</v>
      </c>
      <c r="I10" s="14">
        <v>1</v>
      </c>
      <c r="J10" s="23">
        <f t="shared" si="0"/>
        <v>960</v>
      </c>
      <c r="K10" s="25" t="s">
        <v>27</v>
      </c>
      <c r="L10" s="22"/>
    </row>
    <row r="11" s="3" customFormat="1" ht="29.25" customHeight="1" spans="1:12">
      <c r="A11" s="12">
        <v>6</v>
      </c>
      <c r="B11" s="13"/>
      <c r="C11" s="13" t="s">
        <v>28</v>
      </c>
      <c r="D11" s="14" t="s">
        <v>19</v>
      </c>
      <c r="E11" s="14" t="s">
        <v>23</v>
      </c>
      <c r="F11" s="15" t="s">
        <v>24</v>
      </c>
      <c r="G11" s="14">
        <v>250</v>
      </c>
      <c r="H11" s="14">
        <v>1</v>
      </c>
      <c r="I11" s="14">
        <v>4.2</v>
      </c>
      <c r="J11" s="23">
        <f t="shared" si="0"/>
        <v>1050</v>
      </c>
      <c r="K11" s="25" t="s">
        <v>27</v>
      </c>
      <c r="L11" s="22"/>
    </row>
    <row r="12" s="3" customFormat="1" ht="29.25" customHeight="1" spans="1:12">
      <c r="A12" s="12">
        <v>7</v>
      </c>
      <c r="B12" s="13"/>
      <c r="C12" s="13" t="s">
        <v>28</v>
      </c>
      <c r="D12" s="14" t="s">
        <v>19</v>
      </c>
      <c r="E12" s="14" t="s">
        <v>23</v>
      </c>
      <c r="F12" s="15" t="s">
        <v>24</v>
      </c>
      <c r="G12" s="14">
        <v>250</v>
      </c>
      <c r="H12" s="14">
        <v>1</v>
      </c>
      <c r="I12" s="14">
        <v>2.2</v>
      </c>
      <c r="J12" s="23">
        <f t="shared" si="0"/>
        <v>550</v>
      </c>
      <c r="K12" s="24" t="s">
        <v>18</v>
      </c>
      <c r="L12" s="22"/>
    </row>
    <row r="13" s="3" customFormat="1" ht="29.25" customHeight="1" spans="1:12">
      <c r="A13" s="12">
        <v>8</v>
      </c>
      <c r="B13" s="13" t="s">
        <v>29</v>
      </c>
      <c r="C13" s="13" t="s">
        <v>30</v>
      </c>
      <c r="D13" s="14" t="s">
        <v>19</v>
      </c>
      <c r="E13" s="14" t="s">
        <v>23</v>
      </c>
      <c r="F13" s="15" t="s">
        <v>24</v>
      </c>
      <c r="G13" s="14">
        <v>250</v>
      </c>
      <c r="H13" s="14">
        <v>1</v>
      </c>
      <c r="I13" s="14">
        <v>4.2</v>
      </c>
      <c r="J13" s="23">
        <f t="shared" si="0"/>
        <v>1050</v>
      </c>
      <c r="K13" s="25" t="s">
        <v>27</v>
      </c>
      <c r="L13" s="22"/>
    </row>
    <row r="14" s="3" customFormat="1" ht="29.25" customHeight="1" spans="1:12">
      <c r="A14" s="12">
        <v>9</v>
      </c>
      <c r="B14" s="13"/>
      <c r="C14" s="13" t="s">
        <v>30</v>
      </c>
      <c r="D14" s="14" t="s">
        <v>19</v>
      </c>
      <c r="E14" s="14" t="s">
        <v>23</v>
      </c>
      <c r="F14" s="15" t="s">
        <v>24</v>
      </c>
      <c r="G14" s="14">
        <v>250</v>
      </c>
      <c r="H14" s="14">
        <v>1</v>
      </c>
      <c r="I14" s="14">
        <v>2.2</v>
      </c>
      <c r="J14" s="23">
        <f t="shared" si="0"/>
        <v>550</v>
      </c>
      <c r="K14" s="24" t="s">
        <v>18</v>
      </c>
      <c r="L14" s="22"/>
    </row>
    <row r="15" s="3" customFormat="1" ht="29.25" customHeight="1" spans="1:12">
      <c r="A15" s="12"/>
      <c r="B15" s="13"/>
      <c r="C15" s="13"/>
      <c r="D15" s="14"/>
      <c r="E15" s="14"/>
      <c r="F15" s="15"/>
      <c r="G15" s="14"/>
      <c r="H15" s="14"/>
      <c r="I15" s="14"/>
      <c r="J15" s="26">
        <f>SUM(J6:J14)</f>
        <v>6118</v>
      </c>
      <c r="K15" s="27"/>
      <c r="L15" s="22"/>
    </row>
    <row r="16" s="2" customFormat="1" ht="29.25" customHeight="1" spans="1:12">
      <c r="A16" s="11" t="s">
        <v>31</v>
      </c>
      <c r="B16" s="11" t="s">
        <v>32</v>
      </c>
      <c r="C16" s="11"/>
      <c r="D16" s="16">
        <f>J15*1</f>
        <v>6118</v>
      </c>
      <c r="E16" s="11" t="s">
        <v>33</v>
      </c>
      <c r="F16" s="11" t="s">
        <v>34</v>
      </c>
      <c r="G16" s="17">
        <f>D16-D18</f>
        <v>6118</v>
      </c>
      <c r="H16" s="18"/>
      <c r="I16" s="28"/>
      <c r="J16" s="29"/>
      <c r="K16" s="30"/>
      <c r="L16" s="22"/>
    </row>
    <row r="17" s="2" customFormat="1" ht="29.25" customHeight="1" spans="1:12">
      <c r="A17" s="11"/>
      <c r="B17" s="11" t="s">
        <v>35</v>
      </c>
      <c r="C17" s="11"/>
      <c r="D17" s="16">
        <f>D16*0.08</f>
        <v>489.44</v>
      </c>
      <c r="E17" s="11"/>
      <c r="F17" s="11" t="s">
        <v>36</v>
      </c>
      <c r="G17" s="17">
        <f>G16*0.08</f>
        <v>489.44</v>
      </c>
      <c r="H17" s="18"/>
      <c r="I17" s="31"/>
      <c r="J17" s="32"/>
      <c r="K17" s="33"/>
      <c r="L17" s="22"/>
    </row>
    <row r="18" s="2" customFormat="1" ht="29.25" customHeight="1" spans="1:12">
      <c r="A18" s="11"/>
      <c r="B18" s="11" t="s">
        <v>37</v>
      </c>
      <c r="C18" s="11"/>
      <c r="D18" s="16">
        <v>0</v>
      </c>
      <c r="E18" s="11"/>
      <c r="F18" s="11" t="s">
        <v>38</v>
      </c>
      <c r="G18" s="17">
        <f>G16+G17-D18</f>
        <v>6607.44</v>
      </c>
      <c r="H18" s="18"/>
      <c r="I18" s="34"/>
      <c r="J18" s="35"/>
      <c r="K18" s="36"/>
      <c r="L18" s="22"/>
    </row>
    <row r="19" s="2" customFormat="1" ht="18.95" customHeight="1" spans="1:9">
      <c r="A19" s="19"/>
      <c r="B19" s="19"/>
      <c r="C19" s="20"/>
      <c r="D19" s="20"/>
      <c r="E19" s="20"/>
      <c r="F19" s="20"/>
      <c r="G19" s="20"/>
      <c r="H19" s="20"/>
      <c r="I19" s="20"/>
    </row>
    <row r="20" ht="23.45" customHeight="1"/>
    <row r="21" ht="23.45" customHeight="1"/>
    <row r="22" ht="23.45" customHeight="1"/>
    <row r="23" ht="23.45" customHeight="1"/>
    <row r="24" ht="23.45" customHeight="1"/>
  </sheetData>
  <mergeCells count="20">
    <mergeCell ref="A1:K1"/>
    <mergeCell ref="B2:K2"/>
    <mergeCell ref="G3:J3"/>
    <mergeCell ref="H4:I4"/>
    <mergeCell ref="B16:C16"/>
    <mergeCell ref="G16:H16"/>
    <mergeCell ref="B17:C17"/>
    <mergeCell ref="G17:H17"/>
    <mergeCell ref="B18:C18"/>
    <mergeCell ref="G18:H18"/>
    <mergeCell ref="A3:A5"/>
    <mergeCell ref="A16:A18"/>
    <mergeCell ref="D3:D5"/>
    <mergeCell ref="E3:E5"/>
    <mergeCell ref="E16:E18"/>
    <mergeCell ref="F3:F5"/>
    <mergeCell ref="G4:G5"/>
    <mergeCell ref="K3:K5"/>
    <mergeCell ref="B3:C5"/>
    <mergeCell ref="I16:K18"/>
  </mergeCells>
  <dataValidations count="4">
    <dataValidation type="list" allowBlank="1" showInputMessage="1" showErrorMessage="1" sqref="B6 B7:B11 B12:B15">
      <formula1>"01月,02月,03月,04月,05月,06月,07月,08月,09月,10月,11月,12月"</formula1>
    </dataValidation>
    <dataValidation type="list" allowBlank="1" showInputMessage="1" showErrorMessage="1" sqref="C6 C7:C11 C12:C15">
      <formula1>"01日,02日,03日,04日,05日,06日,07日,08日,09日,10日,11日,12日,13日,14日,15日,16日,17日,18日,19日,20日,21日,22日,23日,24日,25日,26日,27日,28日,29日,30日,31日"</formula1>
    </dataValidation>
    <dataValidation type="list" allowBlank="1" showInputMessage="1" showErrorMessage="1" sqref="D6 D7:D11 D12:D15">
      <formula1>"应付费用,代付费用,其他费用"</formula1>
    </dataValidation>
    <dataValidation allowBlank="1" showInputMessage="1" showErrorMessage="1" sqref="E6 G6 H6 I6 E9 G9 H9 I9 E12 G12 H12 I12 E13 G13 H13 I13 E14 G14 H14 I14 E15 G15 H15 I15 E7:E8 E10:E11 G7:G8 G10:G11 H7:H8 H10:H11 I7:I8 I10:I11"/>
  </dataValidations>
  <pageMargins left="0" right="0" top="0" bottom="0" header="0.511811023622047" footer="0.511811023622047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BL-GG20200501001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2019-10-18T02:12:00Z</dcterms:created>
  <cp:lastPrinted>2019-11-08T06:10:00Z</cp:lastPrinted>
  <dcterms:modified xsi:type="dcterms:W3CDTF">2022-04-13T09:28:48Z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B7715AD2240241989462713B7D93941F</vt:lpwstr>
  </property>
</Properties>
</file>